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Света\Desktop\"/>
    </mc:Choice>
  </mc:AlternateContent>
  <bookViews>
    <workbookView xWindow="0" yWindow="0" windowWidth="23040" windowHeight="9192" activeTab="3"/>
  </bookViews>
  <sheets>
    <sheet name="Лист1" sheetId="1" r:id="rId1"/>
    <sheet name="Лист2" sheetId="2" r:id="rId2"/>
    <sheet name="Лист3" sheetId="3" r:id="rId3"/>
    <sheet name="Лист4" sheetId="4" r:id="rId4"/>
  </sheets>
  <definedNames>
    <definedName name="solver_adj" localSheetId="3" hidden="1">Лист4!$B$11:$E$14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Лист4!$B$11:$E$14</definedName>
    <definedName name="solver_lhs2" localSheetId="3" hidden="1">Лист4!$B$11:$E$14</definedName>
    <definedName name="solver_lhs3" localSheetId="3" hidden="1">Лист4!$B$15:$E$15</definedName>
    <definedName name="solver_lhs4" localSheetId="3" hidden="1">Лист4!$F$11:$F$14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Лист4!$B$23</definedName>
    <definedName name="solver_pre" localSheetId="3" hidden="1">0.000001</definedName>
    <definedName name="solver_rbv" localSheetId="3" hidden="1">1</definedName>
    <definedName name="solver_rel1" localSheetId="3" hidden="1">4</definedName>
    <definedName name="solver_rel2" localSheetId="3" hidden="1">3</definedName>
    <definedName name="solver_rel3" localSheetId="3" hidden="1">2</definedName>
    <definedName name="solver_rel4" localSheetId="3" hidden="1">2</definedName>
    <definedName name="solver_rhs1" localSheetId="3" hidden="1">целое</definedName>
    <definedName name="solver_rhs2" localSheetId="3" hidden="1">0</definedName>
    <definedName name="solver_rhs3" localSheetId="3" hidden="1">Лист4!$B$8:$E$8</definedName>
    <definedName name="solver_rhs4" localSheetId="3" hidden="1">Лист4!$F$4:$F$7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перевод">Лист2!$B$1:$B$3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4" l="1"/>
  <c r="D15" i="4"/>
  <c r="E15" i="4"/>
  <c r="B15" i="4"/>
  <c r="F12" i="4"/>
  <c r="F13" i="4"/>
  <c r="F14" i="4"/>
  <c r="F11" i="4"/>
  <c r="B18" i="4" a="1"/>
  <c r="B19" i="4" s="1"/>
  <c r="E2" i="3"/>
  <c r="B5" i="3"/>
  <c r="F15" i="4" l="1"/>
  <c r="E20" i="4"/>
  <c r="E18" i="4"/>
  <c r="D20" i="4"/>
  <c r="D18" i="4"/>
  <c r="C20" i="4"/>
  <c r="C18" i="4"/>
  <c r="B20" i="4"/>
  <c r="B18" i="4"/>
  <c r="E21" i="4"/>
  <c r="E19" i="4"/>
  <c r="D21" i="4"/>
  <c r="D19" i="4"/>
  <c r="C21" i="4"/>
  <c r="C19" i="4"/>
  <c r="B21" i="4"/>
  <c r="B23" i="4" l="1"/>
</calcChain>
</file>

<file path=xl/sharedStrings.xml><?xml version="1.0" encoding="utf-8"?>
<sst xmlns="http://schemas.openxmlformats.org/spreadsheetml/2006/main" count="23" uniqueCount="23">
  <si>
    <t>"хозяин, владелец чего-либо"</t>
  </si>
  <si>
    <t>"человек, имеющий власть"</t>
  </si>
  <si>
    <t>"хозяин дома, принимающий гостей"</t>
  </si>
  <si>
    <t>owner</t>
  </si>
  <si>
    <t>host</t>
  </si>
  <si>
    <t>master</t>
  </si>
  <si>
    <t>ставка</t>
  </si>
  <si>
    <t>период</t>
  </si>
  <si>
    <t>выплаты</t>
  </si>
  <si>
    <t>начальный взнос</t>
  </si>
  <si>
    <t>БС</t>
  </si>
  <si>
    <t>процентная ставка</t>
  </si>
  <si>
    <t>сроки выплат</t>
  </si>
  <si>
    <t>сельскохозяйственные предприятия</t>
  </si>
  <si>
    <t>элеваторы</t>
  </si>
  <si>
    <t>A</t>
  </si>
  <si>
    <t>B</t>
  </si>
  <si>
    <t>C</t>
  </si>
  <si>
    <t>D</t>
  </si>
  <si>
    <t>Табл1 Условие задачи</t>
  </si>
  <si>
    <t>Табл2</t>
  </si>
  <si>
    <t>Табл3</t>
  </si>
  <si>
    <t>Целевая функция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</si>
</sst>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₽&quot;;[Red]\-#,##0.00\ &quot;₽&quot;"/>
    <numFmt numFmtId="169" formatCode="0.0%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9" fontId="0" fillId="0" borderId="0" xfId="1" applyFont="1"/>
    <xf numFmtId="1" fontId="0" fillId="0" borderId="0" xfId="0" applyNumberFormat="1"/>
    <xf numFmtId="8" fontId="0" fillId="0" borderId="0" xfId="0" applyNumberFormat="1"/>
    <xf numFmtId="0" fontId="0" fillId="0" borderId="0" xfId="0" applyAlignment="1">
      <alignment horizontal="center"/>
    </xf>
    <xf numFmtId="169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sqref="A1:A10"/>
    </sheetView>
  </sheetViews>
  <sheetFormatPr defaultRowHeight="14.4" x14ac:dyDescent="0.3"/>
  <cols>
    <col min="1" max="1" width="10.109375" bestFit="1" customWidth="1"/>
  </cols>
  <sheetData>
    <row r="1" spans="1:1" x14ac:dyDescent="0.3">
      <c r="A1" s="1">
        <v>43344</v>
      </c>
    </row>
    <row r="2" spans="1:1" x14ac:dyDescent="0.3">
      <c r="A2" s="1">
        <v>43345</v>
      </c>
    </row>
    <row r="3" spans="1:1" x14ac:dyDescent="0.3">
      <c r="A3" s="1">
        <v>43346</v>
      </c>
    </row>
    <row r="4" spans="1:1" x14ac:dyDescent="0.3">
      <c r="A4" s="1">
        <v>43347</v>
      </c>
    </row>
    <row r="5" spans="1:1" x14ac:dyDescent="0.3">
      <c r="A5" s="1">
        <v>43348</v>
      </c>
    </row>
    <row r="6" spans="1:1" x14ac:dyDescent="0.3">
      <c r="A6" s="1">
        <v>43349</v>
      </c>
    </row>
    <row r="7" spans="1:1" x14ac:dyDescent="0.3">
      <c r="A7" s="1">
        <v>43350</v>
      </c>
    </row>
    <row r="8" spans="1:1" x14ac:dyDescent="0.3">
      <c r="A8" s="1">
        <v>43351</v>
      </c>
    </row>
    <row r="9" spans="1:1" x14ac:dyDescent="0.3">
      <c r="A9" s="1">
        <v>43352</v>
      </c>
    </row>
    <row r="10" spans="1:1" x14ac:dyDescent="0.3">
      <c r="A10" s="1">
        <v>43353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1" sqref="B1"/>
    </sheetView>
  </sheetViews>
  <sheetFormatPr defaultRowHeight="14.4" x14ac:dyDescent="0.3"/>
  <cols>
    <col min="1" max="1" width="32.88671875" customWidth="1"/>
  </cols>
  <sheetData>
    <row r="1" spans="1:2" x14ac:dyDescent="0.3">
      <c r="A1" t="s">
        <v>0</v>
      </c>
      <c r="B1" t="s">
        <v>3</v>
      </c>
    </row>
    <row r="2" spans="1:2" x14ac:dyDescent="0.3">
      <c r="A2" t="s">
        <v>1</v>
      </c>
      <c r="B2" t="s">
        <v>5</v>
      </c>
    </row>
    <row r="3" spans="1:2" x14ac:dyDescent="0.3">
      <c r="A3" t="s">
        <v>2</v>
      </c>
      <c r="B3" t="s">
        <v>4</v>
      </c>
    </row>
  </sheetData>
  <dataValidations count="1">
    <dataValidation type="list" allowBlank="1" showInputMessage="1" showErrorMessage="1" sqref="B1:B3">
      <formula1>перевод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selection activeCell="L5" sqref="L5"/>
    </sheetView>
  </sheetViews>
  <sheetFormatPr defaultRowHeight="14.4" x14ac:dyDescent="0.3"/>
  <cols>
    <col min="1" max="1" width="16.6640625" customWidth="1"/>
    <col min="2" max="2" width="10.33203125" bestFit="1" customWidth="1"/>
    <col min="5" max="5" width="16.88671875" customWidth="1"/>
    <col min="6" max="6" width="8.88671875" customWidth="1"/>
  </cols>
  <sheetData>
    <row r="1" spans="1:12" x14ac:dyDescent="0.3">
      <c r="A1" t="s">
        <v>6</v>
      </c>
      <c r="B1" s="2">
        <v>0.12</v>
      </c>
      <c r="E1" t="s">
        <v>11</v>
      </c>
      <c r="F1" s="5" t="s">
        <v>12</v>
      </c>
      <c r="G1" s="5"/>
      <c r="H1" s="5"/>
      <c r="I1" s="5"/>
      <c r="J1" s="5"/>
      <c r="K1" s="5"/>
      <c r="L1" s="6"/>
    </row>
    <row r="2" spans="1:12" x14ac:dyDescent="0.3">
      <c r="A2" t="s">
        <v>7</v>
      </c>
      <c r="B2" s="3">
        <v>6</v>
      </c>
      <c r="E2" s="4">
        <f>FV(B1,B2,B3,B4,1)</f>
        <v>18958.125154304013</v>
      </c>
      <c r="F2">
        <v>7</v>
      </c>
      <c r="G2">
        <v>8</v>
      </c>
      <c r="H2">
        <v>9</v>
      </c>
      <c r="I2">
        <v>10</v>
      </c>
      <c r="J2">
        <v>11</v>
      </c>
      <c r="K2">
        <v>12</v>
      </c>
    </row>
    <row r="3" spans="1:12" x14ac:dyDescent="0.3">
      <c r="A3" t="s">
        <v>8</v>
      </c>
      <c r="B3" s="3">
        <v>-1000</v>
      </c>
      <c r="E3" s="2">
        <v>0.08</v>
      </c>
      <c r="F3">
        <f t="dataTable" ref="F3:K6" dt2D="1" dtr="1" r1="B2" r2="B1"/>
        <v>18205.748972421134</v>
      </c>
      <c r="G3">
        <v>20742.208890214824</v>
      </c>
      <c r="H3">
        <v>23481.585601432012</v>
      </c>
      <c r="I3">
        <v>26440.112449546577</v>
      </c>
      <c r="J3">
        <v>29635.321445510297</v>
      </c>
      <c r="K3">
        <v>33086.14716115113</v>
      </c>
    </row>
    <row r="4" spans="1:12" x14ac:dyDescent="0.3">
      <c r="A4" t="s">
        <v>9</v>
      </c>
      <c r="B4" s="3">
        <v>-5000</v>
      </c>
      <c r="E4" s="2">
        <v>0.09</v>
      </c>
      <c r="F4">
        <v>19168.669400641156</v>
      </c>
      <c r="G4">
        <v>21983.849646698858</v>
      </c>
      <c r="H4">
        <v>25052.39611490176</v>
      </c>
      <c r="I4">
        <v>28397.111765242924</v>
      </c>
      <c r="J4">
        <v>32042.851824114783</v>
      </c>
      <c r="K4">
        <v>36016.708488285112</v>
      </c>
    </row>
    <row r="5" spans="1:12" x14ac:dyDescent="0.3">
      <c r="A5" t="s">
        <v>10</v>
      </c>
      <c r="B5" s="4">
        <f>FV(B1,B2,B3,B4,1)</f>
        <v>18958.125154304013</v>
      </c>
      <c r="E5" s="2">
        <v>0.1</v>
      </c>
      <c r="F5">
        <v>20179.473600000019</v>
      </c>
      <c r="G5">
        <v>23297.420960000018</v>
      </c>
      <c r="H5">
        <v>26727.163056000027</v>
      </c>
      <c r="I5">
        <v>30499.879361600033</v>
      </c>
      <c r="J5">
        <v>34649.867297760044</v>
      </c>
      <c r="K5">
        <v>39214.854027536043</v>
      </c>
    </row>
    <row r="6" spans="1:12" x14ac:dyDescent="0.3">
      <c r="E6" s="2">
        <v>0.11</v>
      </c>
      <c r="F6">
        <v>21240.235034653273</v>
      </c>
      <c r="G6">
        <v>24686.660888465143</v>
      </c>
      <c r="H6">
        <v>28512.193586196314</v>
      </c>
      <c r="I6">
        <v>32758.534880677907</v>
      </c>
      <c r="J6">
        <v>37471.973717552479</v>
      </c>
      <c r="K6">
        <v>42703.890826483257</v>
      </c>
    </row>
  </sheetData>
  <mergeCells count="1">
    <mergeCell ref="F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workbookViewId="0">
      <selection activeCell="D9" sqref="D9"/>
    </sheetView>
  </sheetViews>
  <sheetFormatPr defaultRowHeight="14.4" x14ac:dyDescent="0.3"/>
  <cols>
    <col min="1" max="1" width="15.88671875" customWidth="1"/>
  </cols>
  <sheetData>
    <row r="1" spans="1:6" x14ac:dyDescent="0.3">
      <c r="A1" s="11" t="s">
        <v>19</v>
      </c>
      <c r="B1" s="12"/>
      <c r="C1" s="12"/>
      <c r="D1" s="12"/>
      <c r="E1" s="12"/>
      <c r="F1" s="13"/>
    </row>
    <row r="2" spans="1:6" x14ac:dyDescent="0.3">
      <c r="A2" s="10" t="s">
        <v>14</v>
      </c>
      <c r="B2" s="11" t="s">
        <v>13</v>
      </c>
      <c r="C2" s="12"/>
      <c r="D2" s="12"/>
      <c r="E2" s="12"/>
      <c r="F2" s="13"/>
    </row>
    <row r="3" spans="1:6" x14ac:dyDescent="0.3">
      <c r="A3" s="10"/>
      <c r="B3" s="9">
        <v>1</v>
      </c>
      <c r="C3" s="9">
        <v>2</v>
      </c>
      <c r="D3" s="9">
        <v>3</v>
      </c>
      <c r="E3" s="9">
        <v>4</v>
      </c>
      <c r="F3" s="9"/>
    </row>
    <row r="4" spans="1:6" x14ac:dyDescent="0.3">
      <c r="A4" s="9" t="s">
        <v>15</v>
      </c>
      <c r="B4" s="9">
        <v>4</v>
      </c>
      <c r="C4" s="9">
        <v>5</v>
      </c>
      <c r="D4" s="9">
        <v>5</v>
      </c>
      <c r="E4" s="9">
        <v>7</v>
      </c>
      <c r="F4" s="9">
        <v>100</v>
      </c>
    </row>
    <row r="5" spans="1:6" x14ac:dyDescent="0.3">
      <c r="A5" s="9" t="s">
        <v>16</v>
      </c>
      <c r="B5" s="9">
        <v>8</v>
      </c>
      <c r="C5" s="9">
        <v>7</v>
      </c>
      <c r="D5" s="9">
        <v>5</v>
      </c>
      <c r="E5" s="9">
        <v>4</v>
      </c>
      <c r="F5" s="9">
        <v>120</v>
      </c>
    </row>
    <row r="6" spans="1:6" x14ac:dyDescent="0.3">
      <c r="A6" s="9" t="s">
        <v>17</v>
      </c>
      <c r="B6" s="9">
        <v>9</v>
      </c>
      <c r="C6" s="9">
        <v>6</v>
      </c>
      <c r="D6" s="9">
        <v>4</v>
      </c>
      <c r="E6" s="9">
        <v>5</v>
      </c>
      <c r="F6" s="9">
        <v>150</v>
      </c>
    </row>
    <row r="7" spans="1:6" x14ac:dyDescent="0.3">
      <c r="A7" s="9" t="s">
        <v>18</v>
      </c>
      <c r="B7" s="9">
        <v>3</v>
      </c>
      <c r="C7" s="9">
        <v>2</v>
      </c>
      <c r="D7" s="9">
        <v>9</v>
      </c>
      <c r="E7" s="9">
        <v>3</v>
      </c>
      <c r="F7" s="9">
        <v>130</v>
      </c>
    </row>
    <row r="8" spans="1:6" x14ac:dyDescent="0.3">
      <c r="A8" s="9"/>
      <c r="B8" s="9">
        <v>140</v>
      </c>
      <c r="C8" s="9">
        <v>130</v>
      </c>
      <c r="D8" s="9">
        <v>90</v>
      </c>
      <c r="E8" s="9">
        <v>140</v>
      </c>
      <c r="F8" s="9">
        <v>500</v>
      </c>
    </row>
    <row r="10" spans="1:6" x14ac:dyDescent="0.3">
      <c r="B10" s="16" t="s">
        <v>20</v>
      </c>
      <c r="C10" s="17"/>
      <c r="D10" s="17"/>
      <c r="E10" s="17"/>
      <c r="F10" s="18"/>
    </row>
    <row r="11" spans="1:6" x14ac:dyDescent="0.3">
      <c r="B11" s="14">
        <v>100</v>
      </c>
      <c r="C11" s="8">
        <v>0</v>
      </c>
      <c r="D11" s="8">
        <v>0</v>
      </c>
      <c r="E11" s="8">
        <v>0</v>
      </c>
      <c r="F11" s="14">
        <f>SUM(B11:E11)</f>
        <v>100</v>
      </c>
    </row>
    <row r="12" spans="1:6" x14ac:dyDescent="0.3">
      <c r="B12" s="8">
        <v>0</v>
      </c>
      <c r="C12" s="8">
        <v>0</v>
      </c>
      <c r="D12" s="8">
        <v>0</v>
      </c>
      <c r="E12" s="8">
        <v>120</v>
      </c>
      <c r="F12" s="14">
        <f t="shared" ref="F12:F15" si="0">SUM(B12:E12)</f>
        <v>120</v>
      </c>
    </row>
    <row r="13" spans="1:6" x14ac:dyDescent="0.3">
      <c r="B13" s="8">
        <v>0</v>
      </c>
      <c r="C13" s="8">
        <v>40</v>
      </c>
      <c r="D13" s="8">
        <v>90</v>
      </c>
      <c r="E13" s="8">
        <v>20</v>
      </c>
      <c r="F13" s="14">
        <f t="shared" si="0"/>
        <v>150</v>
      </c>
    </row>
    <row r="14" spans="1:6" x14ac:dyDescent="0.3">
      <c r="B14" s="8">
        <v>40</v>
      </c>
      <c r="C14" s="8">
        <v>90</v>
      </c>
      <c r="D14" s="8">
        <v>0</v>
      </c>
      <c r="E14" s="8">
        <v>0</v>
      </c>
      <c r="F14" s="14">
        <f t="shared" si="0"/>
        <v>130</v>
      </c>
    </row>
    <row r="15" spans="1:6" x14ac:dyDescent="0.3">
      <c r="B15" s="14">
        <f>SUM(B11:B14)</f>
        <v>140</v>
      </c>
      <c r="C15" s="14">
        <f t="shared" ref="C15:F15" si="1">SUM(C11:C14)</f>
        <v>130</v>
      </c>
      <c r="D15" s="14">
        <f t="shared" si="1"/>
        <v>90</v>
      </c>
      <c r="E15" s="14">
        <f t="shared" si="1"/>
        <v>140</v>
      </c>
      <c r="F15" s="14">
        <f t="shared" si="1"/>
        <v>500</v>
      </c>
    </row>
    <row r="16" spans="1:6" x14ac:dyDescent="0.3">
      <c r="B16" s="15"/>
    </row>
    <row r="17" spans="1:5" x14ac:dyDescent="0.3">
      <c r="B17" s="7" t="s">
        <v>21</v>
      </c>
      <c r="C17" s="7"/>
      <c r="D17" s="7"/>
      <c r="E17" s="7"/>
    </row>
    <row r="18" spans="1:5" x14ac:dyDescent="0.3">
      <c r="B18" s="14">
        <f t="array" ref="B18:E21">B4:E7*B11:E14</f>
        <v>400</v>
      </c>
      <c r="C18" s="8">
        <v>0</v>
      </c>
      <c r="D18" s="8">
        <v>0</v>
      </c>
      <c r="E18" s="8">
        <v>0</v>
      </c>
    </row>
    <row r="19" spans="1:5" x14ac:dyDescent="0.3">
      <c r="B19" s="8">
        <v>0</v>
      </c>
      <c r="C19" s="14">
        <v>0</v>
      </c>
      <c r="D19" s="8">
        <v>0</v>
      </c>
      <c r="E19" s="8">
        <v>480</v>
      </c>
    </row>
    <row r="20" spans="1:5" x14ac:dyDescent="0.3">
      <c r="B20" s="8">
        <v>0</v>
      </c>
      <c r="C20" s="8">
        <v>240</v>
      </c>
      <c r="D20" s="8">
        <v>360</v>
      </c>
      <c r="E20" s="8">
        <v>100</v>
      </c>
    </row>
    <row r="21" spans="1:5" x14ac:dyDescent="0.3">
      <c r="B21" s="8">
        <v>120</v>
      </c>
      <c r="C21" s="8">
        <v>180</v>
      </c>
      <c r="D21" s="8">
        <v>0</v>
      </c>
      <c r="E21" s="8">
        <v>0</v>
      </c>
    </row>
    <row r="23" spans="1:5" x14ac:dyDescent="0.3">
      <c r="A23" s="8" t="s">
        <v>22</v>
      </c>
      <c r="B23" s="8">
        <f>SUM(B18:E21)</f>
        <v>1880</v>
      </c>
    </row>
  </sheetData>
  <mergeCells count="5">
    <mergeCell ref="B17:E17"/>
    <mergeCell ref="B10:F10"/>
    <mergeCell ref="A2:A3"/>
    <mergeCell ref="A1:F1"/>
    <mergeCell ref="B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Лист1</vt:lpstr>
      <vt:lpstr>Лист2</vt:lpstr>
      <vt:lpstr>Лист3</vt:lpstr>
      <vt:lpstr>Лист4</vt:lpstr>
      <vt:lpstr>перевод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2018-09-30T17:44:26Z</dcterms:created>
  <dcterms:modified xsi:type="dcterms:W3CDTF">2018-09-30T20:28:55Z</dcterms:modified>
</cp:coreProperties>
</file>