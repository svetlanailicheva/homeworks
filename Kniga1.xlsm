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51196F13-6AD0-C1B8-E2B4-A1F9AE17003E}"/>
  <workbookPr/>
  <bookViews>
    <workbookView xWindow="0" yWindow="0" windowWidth="19440" windowHeight="9195" activeTab="3"/>
  </bookViews>
  <sheets>
    <sheet name="Лист1" sheetId="1" r:id="rId1"/>
    <sheet name="Лист2" sheetId="2" r:id="rId2"/>
    <sheet name="Лист3" sheetId="3" r:id="rId3"/>
    <sheet name="Лист4" sheetId="4" r:id="rId4"/>
  </sheets>
  <definedNames>
    <definedName name="_xlnm._FilterDatabase" localSheetId="2" hidden="1">Лист3!$E$23:$I$28</definedName>
    <definedName name="solver_adj" localSheetId="3" hidden="1">Лист4!$B$11:$E$14</definedName>
    <definedName name="solver_cvg" localSheetId="3" hidden="1">0.0001</definedName>
    <definedName name="solver_drv" localSheetId="3" hidden="1">1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Лист4!$B$11:$E$14</definedName>
    <definedName name="solver_lhs2" localSheetId="3" hidden="1">Лист4!$B$11:$E$14</definedName>
    <definedName name="solver_lhs3" localSheetId="3" hidden="1">Лист4!$B$15:$E$15</definedName>
    <definedName name="solver_lhs4" localSheetId="3" hidden="1">Лист4!$F$11:$F$14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4</definedName>
    <definedName name="solver_nwt" localSheetId="3" hidden="1">1</definedName>
    <definedName name="solver_opt" localSheetId="3" hidden="1">Лист4!$B$23</definedName>
    <definedName name="solver_pre" localSheetId="3" hidden="1">0.000001</definedName>
    <definedName name="solver_rbv" localSheetId="3" hidden="1">1</definedName>
    <definedName name="solver_rel1" localSheetId="3" hidden="1">4</definedName>
    <definedName name="solver_rel2" localSheetId="3" hidden="1">3</definedName>
    <definedName name="solver_rel3" localSheetId="3" hidden="1">2</definedName>
    <definedName name="solver_rel4" localSheetId="3" hidden="1">2</definedName>
    <definedName name="solver_rhs1" localSheetId="3" hidden="1">целое</definedName>
    <definedName name="solver_rhs2" localSheetId="3" hidden="1">0</definedName>
    <definedName name="solver_rhs3" localSheetId="3" hidden="1">Лист4!$B$8:$E$8</definedName>
    <definedName name="solver_rhs4" localSheetId="3" hidden="1">Лист4!$F$4:$F$7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2</definedName>
    <definedName name="solver_val" localSheetId="3" hidden="1">0</definedName>
    <definedName name="solver_ver" localSheetId="3" hidden="1">3</definedName>
    <definedName name="перевод">Лист2!$B$1:$B$3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6" i="4" l="1" a="1"/>
  <c r="B49" i="4" s="1"/>
  <c r="D46" i="4" l="1"/>
  <c r="D47" i="4"/>
  <c r="D48" i="4"/>
  <c r="D49" i="4"/>
  <c r="C46" i="4"/>
  <c r="C47" i="4"/>
  <c r="C48" i="4"/>
  <c r="C49" i="4"/>
  <c r="E46" i="4"/>
  <c r="E47" i="4"/>
  <c r="E48" i="4"/>
  <c r="E49" i="4"/>
  <c r="B46" i="4"/>
  <c r="B47" i="4"/>
  <c r="B48" i="4"/>
  <c r="B5" i="3"/>
  <c r="B51" i="4" l="1"/>
  <c r="E12" i="3"/>
  <c r="B15" i="3"/>
  <c r="C15" i="4" l="1"/>
  <c r="D15" i="4"/>
  <c r="E15" i="4"/>
  <c r="B15" i="4"/>
  <c r="F12" i="4"/>
  <c r="F13" i="4"/>
  <c r="F14" i="4"/>
  <c r="F11" i="4"/>
  <c r="B18" i="4" a="1"/>
  <c r="B19" i="4" s="1"/>
  <c r="E2" i="3"/>
  <c r="F15" i="4" l="1"/>
  <c r="E20" i="4"/>
  <c r="E18" i="4"/>
  <c r="D20" i="4"/>
  <c r="D18" i="4"/>
  <c r="C20" i="4"/>
  <c r="C18" i="4"/>
  <c r="B20" i="4"/>
  <c r="B18" i="4"/>
  <c r="E21" i="4"/>
  <c r="E19" i="4"/>
  <c r="D21" i="4"/>
  <c r="D19" i="4"/>
  <c r="C21" i="4"/>
  <c r="C19" i="4"/>
  <c r="B21" i="4"/>
  <c r="B23" i="4" l="1"/>
</calcChain>
</file>

<file path=xl/sharedStrings.xml><?xml version="1.0" encoding="utf-8"?>
<sst xmlns="http://schemas.openxmlformats.org/spreadsheetml/2006/main" count="42" uniqueCount="27">
  <si>
    <t>"хозяин, владелец чего-либо"</t>
  </si>
  <si>
    <t>"человек, имеющий власть"</t>
  </si>
  <si>
    <t>"хозяин дома, принимающий гостей"</t>
  </si>
  <si>
    <t>owner</t>
  </si>
  <si>
    <t>host</t>
  </si>
  <si>
    <t>master</t>
  </si>
  <si>
    <t>ставка</t>
  </si>
  <si>
    <t>период</t>
  </si>
  <si>
    <t>выплаты</t>
  </si>
  <si>
    <t>начальный взнос</t>
  </si>
  <si>
    <t>БС</t>
  </si>
  <si>
    <t>процентная ставка</t>
  </si>
  <si>
    <t>сроки выплат</t>
  </si>
  <si>
    <t>сельскохозяйственные предприятия</t>
  </si>
  <si>
    <t>элеваторы</t>
  </si>
  <si>
    <t>A</t>
  </si>
  <si>
    <t>B</t>
  </si>
  <si>
    <t>C</t>
  </si>
  <si>
    <t>D</t>
  </si>
  <si>
    <t>Табл1 Условие задачи</t>
  </si>
  <si>
    <t>Табл2</t>
  </si>
  <si>
    <t>Табл3</t>
  </si>
  <si>
    <t>Целевая функция</t>
  </si>
  <si>
    <t>Задания для самостоятельного выполнения</t>
  </si>
  <si>
    <t>Цеха завода</t>
  </si>
  <si>
    <t>Магазины</t>
  </si>
  <si>
    <t>Табл12     Условие задачи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</si>
</sst>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8" formatCode="#,##0.00&quot;р.&quot;;[Red]\-#,##0.00&quot;р.&quot;"/>
    <numFmt numFmtId="164" formatCode="#,##0.00\ &quot;₽&quot;;[Red]\-#,##0.00\ &quot;₽&quot;"/>
    <numFmt numFmtId="165" formatCode="0.0%"/>
    <numFmt numFmtId="166" formatCode="#,##0.00\ [$€-1]"/>
    <numFmt numFmtId="167" formatCode="0.000%"/>
    <numFmt numFmtId="168" formatCode="#,##0.00\ [$€-1];[Red]\-#,##0.00\ [$€-1]"/>
    <numFmt numFmtId="169" formatCode="[$$-409]#,##0.0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4">
    <xf numFmtId="0" fontId="0" fillId="0" borderId="0" xfId="0"/>
    <xf numFmtId="14" fontId="0" fillId="0" borderId="0" xfId="0" applyNumberFormat="1"/>
    <xf numFmtId="9" fontId="0" fillId="0" borderId="0" xfId="1" applyFont="1"/>
    <xf numFmtId="1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/>
    <xf numFmtId="0" fontId="0" fillId="0" borderId="1" xfId="0" applyBorder="1"/>
    <xf numFmtId="0" fontId="0" fillId="0" borderId="1" xfId="0" applyFont="1" applyBorder="1"/>
    <xf numFmtId="0" fontId="0" fillId="0" borderId="1" xfId="0" applyBorder="1" applyAlignment="1">
      <alignment horizontal="right"/>
    </xf>
    <xf numFmtId="0" fontId="0" fillId="0" borderId="0" xfId="0" applyAlignment="1">
      <alignment horizontal="right"/>
    </xf>
    <xf numFmtId="10" fontId="0" fillId="0" borderId="0" xfId="0" applyNumberFormat="1"/>
    <xf numFmtId="9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2" fontId="0" fillId="0" borderId="0" xfId="0" applyNumberFormat="1"/>
    <xf numFmtId="169" fontId="0" fillId="0" borderId="0" xfId="0" applyNumberFormat="1"/>
    <xf numFmtId="10" fontId="0" fillId="0" borderId="0" xfId="0" applyNumberFormat="1" applyAlignment="1">
      <alignment horizontal="right"/>
    </xf>
    <xf numFmtId="8" fontId="0" fillId="0" borderId="0" xfId="0" applyNumberFormat="1"/>
    <xf numFmtId="0" fontId="0" fillId="0" borderId="1" xfId="0" applyFill="1" applyBorder="1"/>
    <xf numFmtId="0" fontId="0" fillId="0" borderId="0" xfId="0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2" borderId="0" xfId="0" applyFill="1"/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0"/>
  <sheetViews>
    <sheetView workbookViewId="0">
      <selection sqref="A1:A10"/>
    </sheetView>
  </sheetViews>
  <sheetFormatPr defaultRowHeight="15" x14ac:dyDescent="0.25"/>
  <cols>
    <col min="1" max="1" width="10.140625" bestFit="1" customWidth="1"/>
  </cols>
  <sheetData>
    <row r="1" spans="1:1" x14ac:dyDescent="0.3">
      <c r="A1" s="1">
        <v>43344</v>
      </c>
    </row>
    <row r="2" spans="1:1" x14ac:dyDescent="0.3">
      <c r="A2" s="1">
        <v>43345</v>
      </c>
    </row>
    <row r="3" spans="1:1" x14ac:dyDescent="0.3">
      <c r="A3" s="1">
        <v>43346</v>
      </c>
    </row>
    <row r="4" spans="1:1" x14ac:dyDescent="0.3">
      <c r="A4" s="1">
        <v>43347</v>
      </c>
    </row>
    <row r="5" spans="1:1" x14ac:dyDescent="0.3">
      <c r="A5" s="1">
        <v>43348</v>
      </c>
    </row>
    <row r="6" spans="1:1" x14ac:dyDescent="0.3">
      <c r="A6" s="1">
        <v>43349</v>
      </c>
    </row>
    <row r="7" spans="1:1" x14ac:dyDescent="0.3">
      <c r="A7" s="1">
        <v>43350</v>
      </c>
    </row>
    <row r="8" spans="1:1" x14ac:dyDescent="0.3">
      <c r="A8" s="1">
        <v>43351</v>
      </c>
    </row>
    <row r="9" spans="1:1" x14ac:dyDescent="0.3">
      <c r="A9" s="1">
        <v>43352</v>
      </c>
    </row>
    <row r="10" spans="1:1" x14ac:dyDescent="0.3">
      <c r="A10" s="1">
        <v>43353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"/>
  <sheetViews>
    <sheetView workbookViewId="0">
      <selection activeCell="B1" sqref="B1"/>
    </sheetView>
  </sheetViews>
  <sheetFormatPr defaultRowHeight="15" x14ac:dyDescent="0.25"/>
  <cols>
    <col min="1" max="1" width="32.85546875" customWidth="1"/>
  </cols>
  <sheetData>
    <row r="1" spans="1:2" x14ac:dyDescent="0.25">
      <c r="A1" t="s">
        <v>0</v>
      </c>
      <c r="B1" t="s">
        <v>3</v>
      </c>
    </row>
    <row r="2" spans="1:2" x14ac:dyDescent="0.25">
      <c r="A2" t="s">
        <v>1</v>
      </c>
      <c r="B2" t="s">
        <v>5</v>
      </c>
    </row>
    <row r="3" spans="1:2" x14ac:dyDescent="0.25">
      <c r="A3" t="s">
        <v>2</v>
      </c>
      <c r="B3" t="s">
        <v>4</v>
      </c>
    </row>
  </sheetData>
  <dataValidations count="1">
    <dataValidation type="list" allowBlank="1" showInputMessage="1" showErrorMessage="1" sqref="B1:B3">
      <formula1>перевод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1"/>
  <sheetViews>
    <sheetView workbookViewId="0">
      <selection activeCell="D24" sqref="D24"/>
    </sheetView>
  </sheetViews>
  <sheetFormatPr defaultRowHeight="15" x14ac:dyDescent="0.25"/>
  <cols>
    <col min="1" max="1" width="16.7109375" customWidth="1"/>
    <col min="2" max="3" width="11.7109375" customWidth="1"/>
    <col min="4" max="4" width="11.42578125" customWidth="1"/>
    <col min="5" max="5" width="20.42578125" customWidth="1"/>
    <col min="6" max="6" width="11.140625" customWidth="1"/>
    <col min="10" max="10" width="11.7109375" bestFit="1" customWidth="1"/>
  </cols>
  <sheetData>
    <row r="1" spans="1:13" x14ac:dyDescent="0.25">
      <c r="A1" t="s">
        <v>6</v>
      </c>
      <c r="B1" s="2">
        <v>0.12</v>
      </c>
      <c r="E1" t="s">
        <v>11</v>
      </c>
      <c r="F1" s="21" t="s">
        <v>12</v>
      </c>
      <c r="G1" s="21"/>
      <c r="H1" s="21"/>
      <c r="I1" s="21"/>
      <c r="J1" s="21"/>
      <c r="K1" s="21"/>
      <c r="L1" s="6"/>
    </row>
    <row r="2" spans="1:13" x14ac:dyDescent="0.25">
      <c r="A2" t="s">
        <v>7</v>
      </c>
      <c r="B2" s="3">
        <v>6</v>
      </c>
      <c r="E2" s="4">
        <f>FV(B1,B2,B3,B4,1)</f>
        <v>18958.125154304013</v>
      </c>
      <c r="F2">
        <v>7</v>
      </c>
      <c r="G2">
        <v>8</v>
      </c>
      <c r="H2">
        <v>9</v>
      </c>
      <c r="I2">
        <v>10</v>
      </c>
      <c r="J2">
        <v>11</v>
      </c>
      <c r="K2">
        <v>12</v>
      </c>
    </row>
    <row r="3" spans="1:13" x14ac:dyDescent="0.25">
      <c r="A3" t="s">
        <v>8</v>
      </c>
      <c r="B3" s="3">
        <v>-1000</v>
      </c>
      <c r="E3" s="2">
        <v>0.08</v>
      </c>
      <c r="F3">
        <f t="dataTable" ref="F3:K6" dt2D="1" dtr="1" r1="B2" r2="B1"/>
        <v>18205.748972421134</v>
      </c>
      <c r="G3">
        <v>20742.208890214824</v>
      </c>
      <c r="H3">
        <v>23481.585601432012</v>
      </c>
      <c r="I3">
        <v>26440.112449546577</v>
      </c>
      <c r="J3">
        <v>29635.321445510297</v>
      </c>
      <c r="K3">
        <v>33086.14716115113</v>
      </c>
    </row>
    <row r="4" spans="1:13" x14ac:dyDescent="0.25">
      <c r="A4" t="s">
        <v>9</v>
      </c>
      <c r="B4" s="3">
        <v>-5000</v>
      </c>
      <c r="E4" s="2">
        <v>0.09</v>
      </c>
      <c r="F4">
        <v>19168.669400641156</v>
      </c>
      <c r="G4">
        <v>21983.849646698858</v>
      </c>
      <c r="H4">
        <v>25052.39611490176</v>
      </c>
      <c r="I4">
        <v>28397.111765242924</v>
      </c>
      <c r="J4">
        <v>32042.851824114783</v>
      </c>
      <c r="K4">
        <v>36016.708488285112</v>
      </c>
    </row>
    <row r="5" spans="1:13" x14ac:dyDescent="0.25">
      <c r="A5" t="s">
        <v>10</v>
      </c>
      <c r="B5" s="4">
        <f>FV(B1,B2,B3,B4,1)</f>
        <v>18958.125154304013</v>
      </c>
      <c r="E5" s="2">
        <v>0.1</v>
      </c>
      <c r="F5">
        <v>20179.473600000019</v>
      </c>
      <c r="G5">
        <v>23297.420960000018</v>
      </c>
      <c r="H5">
        <v>26727.163056000027</v>
      </c>
      <c r="I5">
        <v>30499.879361600033</v>
      </c>
      <c r="J5">
        <v>34649.867297760044</v>
      </c>
      <c r="K5">
        <v>39214.854027536043</v>
      </c>
    </row>
    <row r="6" spans="1:13" ht="14.45" x14ac:dyDescent="0.3">
      <c r="E6" s="2">
        <v>0.11</v>
      </c>
      <c r="F6">
        <v>21240.235034653273</v>
      </c>
      <c r="G6">
        <v>24686.660888465143</v>
      </c>
      <c r="H6">
        <v>28512.193586196314</v>
      </c>
      <c r="I6">
        <v>32758.534880677907</v>
      </c>
      <c r="J6">
        <v>37471.973717552479</v>
      </c>
      <c r="K6">
        <v>42703.890826483257</v>
      </c>
    </row>
    <row r="9" spans="1:13" x14ac:dyDescent="0.25">
      <c r="A9" s="33" t="s">
        <v>23</v>
      </c>
      <c r="B9" s="33"/>
      <c r="C9" s="33"/>
    </row>
    <row r="10" spans="1:13" x14ac:dyDescent="0.25">
      <c r="A10">
        <v>1</v>
      </c>
      <c r="E10">
        <v>2</v>
      </c>
    </row>
    <row r="11" spans="1:13" x14ac:dyDescent="0.25">
      <c r="A11" t="s">
        <v>6</v>
      </c>
      <c r="B11" s="14">
        <v>2.375E-2</v>
      </c>
      <c r="E11" t="s">
        <v>11</v>
      </c>
      <c r="F11" s="21" t="s">
        <v>12</v>
      </c>
      <c r="G11" s="21"/>
      <c r="H11" s="21"/>
      <c r="I11" s="21"/>
      <c r="J11" s="21"/>
      <c r="K11" s="21"/>
      <c r="L11" s="21"/>
      <c r="M11" s="21"/>
    </row>
    <row r="12" spans="1:13" x14ac:dyDescent="0.25">
      <c r="A12" t="s">
        <v>7</v>
      </c>
      <c r="B12">
        <v>8</v>
      </c>
      <c r="E12" s="15">
        <f>FV(B11,B12,,B14,1)</f>
        <v>18098.499795014475</v>
      </c>
      <c r="F12">
        <v>1</v>
      </c>
      <c r="G12">
        <v>2</v>
      </c>
      <c r="H12">
        <v>3</v>
      </c>
      <c r="I12">
        <v>4</v>
      </c>
      <c r="J12">
        <v>5</v>
      </c>
      <c r="K12">
        <v>6</v>
      </c>
      <c r="L12">
        <v>7</v>
      </c>
      <c r="M12">
        <v>8</v>
      </c>
    </row>
    <row r="13" spans="1:13" x14ac:dyDescent="0.25">
      <c r="A13" t="s">
        <v>8</v>
      </c>
      <c r="B13">
        <v>0</v>
      </c>
      <c r="E13" s="11">
        <v>2.2499999999999999E-2</v>
      </c>
      <c r="F13" s="16">
        <f t="dataTable" ref="F13:M19" dt2D="1" dtr="1" r1="B12" r2="B11"/>
        <v>15337.5</v>
      </c>
      <c r="G13" s="16">
        <v>15682.593749999998</v>
      </c>
      <c r="H13" s="16">
        <v>16035.452109374997</v>
      </c>
      <c r="I13" s="16">
        <v>16396.249781835933</v>
      </c>
      <c r="J13" s="16">
        <v>16765.165401927243</v>
      </c>
      <c r="K13" s="16">
        <v>17142.381623470606</v>
      </c>
      <c r="L13" s="16">
        <v>17528.085209998691</v>
      </c>
      <c r="M13" s="16">
        <v>17922.467127223659</v>
      </c>
    </row>
    <row r="14" spans="1:13" x14ac:dyDescent="0.25">
      <c r="A14" t="s">
        <v>9</v>
      </c>
      <c r="B14" s="13">
        <v>-15000</v>
      </c>
      <c r="E14" s="11">
        <v>2.5000000000000001E-2</v>
      </c>
      <c r="F14" s="16">
        <v>15374.999999999998</v>
      </c>
      <c r="G14" s="16">
        <v>15759.374999999998</v>
      </c>
      <c r="H14" s="16">
        <v>16153.359374999998</v>
      </c>
      <c r="I14" s="16">
        <v>16557.193359374996</v>
      </c>
      <c r="J14" s="16">
        <v>16971.12319335937</v>
      </c>
      <c r="K14" s="16">
        <v>17395.401273193354</v>
      </c>
      <c r="L14" s="16">
        <v>17830.286305023186</v>
      </c>
      <c r="M14" s="16">
        <v>18276.043462648766</v>
      </c>
    </row>
    <row r="15" spans="1:13" x14ac:dyDescent="0.25">
      <c r="A15" t="s">
        <v>10</v>
      </c>
      <c r="B15" s="15">
        <f>FV(B11,B12,B13,B14,1)</f>
        <v>18098.499795014475</v>
      </c>
      <c r="E15" s="11">
        <v>2.75E-2</v>
      </c>
      <c r="F15" s="16">
        <v>15412.500000000002</v>
      </c>
      <c r="G15" s="16">
        <v>15836.343750000002</v>
      </c>
      <c r="H15" s="16">
        <v>16271.843203125003</v>
      </c>
      <c r="I15" s="16">
        <v>16719.31889121094</v>
      </c>
      <c r="J15" s="16">
        <v>17179.100160719245</v>
      </c>
      <c r="K15" s="16">
        <v>17651.525415139025</v>
      </c>
      <c r="L15" s="16">
        <v>18136.942364055347</v>
      </c>
      <c r="M15" s="16">
        <v>18635.708279066868</v>
      </c>
    </row>
    <row r="16" spans="1:13" x14ac:dyDescent="0.25">
      <c r="E16" s="11">
        <v>0.03</v>
      </c>
      <c r="F16" s="16">
        <v>15450</v>
      </c>
      <c r="G16" s="16">
        <v>15913.5</v>
      </c>
      <c r="H16" s="16">
        <v>16390.904999999999</v>
      </c>
      <c r="I16" s="16">
        <v>16882.632149999998</v>
      </c>
      <c r="J16" s="16">
        <v>17389.111114499996</v>
      </c>
      <c r="K16" s="16">
        <v>17910.784447934999</v>
      </c>
      <c r="L16" s="16">
        <v>18448.10798137305</v>
      </c>
      <c r="M16" s="16">
        <v>19001.551220814239</v>
      </c>
    </row>
    <row r="17" spans="3:13" x14ac:dyDescent="0.25">
      <c r="E17" s="11">
        <v>3.2500000000000001E-2</v>
      </c>
      <c r="F17" s="16">
        <v>15487.5</v>
      </c>
      <c r="G17" s="16">
        <v>15990.843749999998</v>
      </c>
      <c r="H17" s="16">
        <v>16510.546171874998</v>
      </c>
      <c r="I17" s="16">
        <v>17047.138922460937</v>
      </c>
      <c r="J17" s="16">
        <v>17601.170937440915</v>
      </c>
      <c r="K17" s="16">
        <v>18173.208992907745</v>
      </c>
      <c r="L17" s="16">
        <v>18763.838285177244</v>
      </c>
      <c r="M17" s="16">
        <v>19373.66302944551</v>
      </c>
    </row>
    <row r="18" spans="3:13" x14ac:dyDescent="0.25">
      <c r="E18" s="11">
        <v>3.5000000000000003E-2</v>
      </c>
      <c r="F18" s="16">
        <v>15524.999999999998</v>
      </c>
      <c r="G18" s="16">
        <v>16068.374999999998</v>
      </c>
      <c r="H18" s="16">
        <v>16630.768124999995</v>
      </c>
      <c r="I18" s="16">
        <v>17212.845009374996</v>
      </c>
      <c r="J18" s="16">
        <v>17815.294584703119</v>
      </c>
      <c r="K18" s="16">
        <v>18438.829895167728</v>
      </c>
      <c r="L18" s="16">
        <v>19084.188941498596</v>
      </c>
      <c r="M18" s="16">
        <v>19752.135554451044</v>
      </c>
    </row>
    <row r="19" spans="3:13" x14ac:dyDescent="0.25">
      <c r="E19" s="11">
        <v>3.7499999999999999E-2</v>
      </c>
      <c r="F19" s="16">
        <v>15562.500000000002</v>
      </c>
      <c r="G19" s="16">
        <v>16146.093750000004</v>
      </c>
      <c r="H19" s="16">
        <v>16751.572265625004</v>
      </c>
      <c r="I19" s="16">
        <v>17379.756225585945</v>
      </c>
      <c r="J19" s="16">
        <v>18031.497084045423</v>
      </c>
      <c r="K19" s="16">
        <v>18707.678224697123</v>
      </c>
      <c r="L19" s="16">
        <v>19409.216158123269</v>
      </c>
      <c r="M19" s="16">
        <v>20137.061764052894</v>
      </c>
    </row>
    <row r="22" spans="3:13" x14ac:dyDescent="0.25">
      <c r="H22" s="5"/>
      <c r="I22" s="5"/>
      <c r="J22" s="5"/>
      <c r="K22" s="5"/>
      <c r="L22" s="5"/>
      <c r="M22" s="5"/>
    </row>
    <row r="23" spans="3:13" x14ac:dyDescent="0.25">
      <c r="C23" s="10"/>
      <c r="D23" s="17"/>
      <c r="I23" s="10"/>
    </row>
    <row r="24" spans="3:13" x14ac:dyDescent="0.25">
      <c r="C24" s="10"/>
      <c r="D24" s="12"/>
      <c r="I24" s="10"/>
      <c r="J24" s="12"/>
    </row>
    <row r="25" spans="3:13" x14ac:dyDescent="0.25">
      <c r="C25" s="18"/>
      <c r="D25" s="11"/>
      <c r="I25" s="10"/>
      <c r="J25" s="11"/>
    </row>
    <row r="26" spans="3:13" x14ac:dyDescent="0.25">
      <c r="C26" s="10"/>
      <c r="I26" s="10"/>
    </row>
    <row r="27" spans="3:13" x14ac:dyDescent="0.25">
      <c r="C27" s="10"/>
      <c r="I27" s="10"/>
    </row>
    <row r="28" spans="3:13" x14ac:dyDescent="0.25">
      <c r="C28" s="10"/>
      <c r="I28" s="10"/>
    </row>
    <row r="29" spans="3:13" x14ac:dyDescent="0.25">
      <c r="C29" s="10"/>
      <c r="I29" s="10"/>
    </row>
    <row r="30" spans="3:13" x14ac:dyDescent="0.25">
      <c r="C30" s="10"/>
      <c r="I30" s="10"/>
    </row>
    <row r="31" spans="3:13" x14ac:dyDescent="0.25">
      <c r="C31" s="10"/>
      <c r="D31" s="17"/>
      <c r="I31" s="10"/>
      <c r="J31" s="19"/>
    </row>
  </sheetData>
  <scenarios current="0" show="0">
    <scenario name="1" locked="1" count="30" user="ДОМ" comment="Автор: ДОМ , 02.10.2018">
      <inputCells r="E23" val="119999,996963206"/>
      <inputCells r="F23" val="80000"/>
      <inputCells r="G23" val="90000"/>
      <inputCells r="H23" val="100000"/>
      <inputCells r="I23" val="110000"/>
      <inputCells r="E24" val="0,05" numFmtId="9"/>
      <inputCells r="F24" val=""/>
      <inputCells r="G24" val=""/>
      <inputCells r="H24" val=""/>
      <inputCells r="I24" val=""/>
      <inputCells r="E25" val="0,0525" numFmtId="10"/>
      <inputCells r="F25" val=""/>
      <inputCells r="G25" val=""/>
      <inputCells r="H25" val=""/>
      <inputCells r="I25" val=""/>
      <inputCells r="E26" val="0,06" numFmtId="9"/>
      <inputCells r="F26" val=""/>
      <inputCells r="G26" val=""/>
      <inputCells r="H26" val=""/>
      <inputCells r="I26" val=""/>
      <inputCells r="E27" val="0,06375" numFmtId="10"/>
      <inputCells r="F27" val=""/>
      <inputCells r="G27" val=""/>
      <inputCells r="H27" val=""/>
      <inputCells r="I27" val=""/>
      <inputCells r="E28" val="0,0325"/>
      <inputCells r="F28" val=""/>
      <inputCells r="G28" val=""/>
      <inputCells r="H28" val=""/>
      <inputCells r="I28" val=""/>
    </scenario>
  </scenarios>
  <dataConsolidate/>
  <mergeCells count="2">
    <mergeCell ref="F1:K1"/>
    <mergeCell ref="F11:M11"/>
  </mergeCells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1"/>
  <sheetViews>
    <sheetView tabSelected="1" topLeftCell="A19" workbookViewId="0">
      <selection activeCell="A27" sqref="A27:D27"/>
    </sheetView>
  </sheetViews>
  <sheetFormatPr defaultRowHeight="15" x14ac:dyDescent="0.25"/>
  <cols>
    <col min="1" max="1" width="18" customWidth="1"/>
  </cols>
  <sheetData>
    <row r="1" spans="1:6" x14ac:dyDescent="0.25">
      <c r="A1" s="23" t="s">
        <v>19</v>
      </c>
      <c r="B1" s="24"/>
      <c r="C1" s="24"/>
      <c r="D1" s="24"/>
      <c r="E1" s="24"/>
      <c r="F1" s="25"/>
    </row>
    <row r="2" spans="1:6" x14ac:dyDescent="0.25">
      <c r="A2" s="22" t="s">
        <v>14</v>
      </c>
      <c r="B2" s="23" t="s">
        <v>13</v>
      </c>
      <c r="C2" s="24"/>
      <c r="D2" s="24"/>
      <c r="E2" s="24"/>
      <c r="F2" s="25"/>
    </row>
    <row r="3" spans="1:6" x14ac:dyDescent="0.25">
      <c r="A3" s="22"/>
      <c r="B3" s="8">
        <v>1</v>
      </c>
      <c r="C3" s="8">
        <v>2</v>
      </c>
      <c r="D3" s="8">
        <v>3</v>
      </c>
      <c r="E3" s="8">
        <v>4</v>
      </c>
      <c r="F3" s="8"/>
    </row>
    <row r="4" spans="1:6" ht="14.45" x14ac:dyDescent="0.3">
      <c r="A4" s="8" t="s">
        <v>15</v>
      </c>
      <c r="B4" s="8">
        <v>4</v>
      </c>
      <c r="C4" s="8">
        <v>5</v>
      </c>
      <c r="D4" s="8">
        <v>5</v>
      </c>
      <c r="E4" s="8">
        <v>7</v>
      </c>
      <c r="F4" s="8">
        <v>100</v>
      </c>
    </row>
    <row r="5" spans="1:6" ht="14.45" x14ac:dyDescent="0.3">
      <c r="A5" s="8" t="s">
        <v>16</v>
      </c>
      <c r="B5" s="8">
        <v>8</v>
      </c>
      <c r="C5" s="8">
        <v>7</v>
      </c>
      <c r="D5" s="8">
        <v>5</v>
      </c>
      <c r="E5" s="8">
        <v>4</v>
      </c>
      <c r="F5" s="8">
        <v>120</v>
      </c>
    </row>
    <row r="6" spans="1:6" ht="14.45" x14ac:dyDescent="0.3">
      <c r="A6" s="8" t="s">
        <v>17</v>
      </c>
      <c r="B6" s="8">
        <v>9</v>
      </c>
      <c r="C6" s="8">
        <v>6</v>
      </c>
      <c r="D6" s="8">
        <v>4</v>
      </c>
      <c r="E6" s="8">
        <v>5</v>
      </c>
      <c r="F6" s="8">
        <v>150</v>
      </c>
    </row>
    <row r="7" spans="1:6" ht="14.45" x14ac:dyDescent="0.3">
      <c r="A7" s="8" t="s">
        <v>18</v>
      </c>
      <c r="B7" s="8">
        <v>3</v>
      </c>
      <c r="C7" s="8">
        <v>2</v>
      </c>
      <c r="D7" s="8">
        <v>9</v>
      </c>
      <c r="E7" s="8">
        <v>3</v>
      </c>
      <c r="F7" s="8">
        <v>130</v>
      </c>
    </row>
    <row r="8" spans="1:6" ht="14.45" x14ac:dyDescent="0.3">
      <c r="A8" s="8"/>
      <c r="B8" s="8">
        <v>140</v>
      </c>
      <c r="C8" s="8">
        <v>130</v>
      </c>
      <c r="D8" s="8">
        <v>90</v>
      </c>
      <c r="E8" s="8">
        <v>140</v>
      </c>
      <c r="F8" s="8">
        <v>500</v>
      </c>
    </row>
    <row r="10" spans="1:6" x14ac:dyDescent="0.25">
      <c r="B10" s="28" t="s">
        <v>20</v>
      </c>
      <c r="C10" s="29"/>
      <c r="D10" s="29"/>
      <c r="E10" s="29"/>
      <c r="F10" s="30"/>
    </row>
    <row r="11" spans="1:6" ht="14.45" x14ac:dyDescent="0.3">
      <c r="B11" s="9">
        <v>100</v>
      </c>
      <c r="C11" s="7">
        <v>0</v>
      </c>
      <c r="D11" s="7">
        <v>0</v>
      </c>
      <c r="E11" s="7">
        <v>0</v>
      </c>
      <c r="F11" s="9">
        <f>SUM(B11:E11)</f>
        <v>100</v>
      </c>
    </row>
    <row r="12" spans="1:6" ht="14.45" x14ac:dyDescent="0.3">
      <c r="B12" s="7">
        <v>0</v>
      </c>
      <c r="C12" s="7">
        <v>0</v>
      </c>
      <c r="D12" s="7">
        <v>0</v>
      </c>
      <c r="E12" s="7">
        <v>120</v>
      </c>
      <c r="F12" s="9">
        <f t="shared" ref="F12:F14" si="0">SUM(B12:E12)</f>
        <v>120</v>
      </c>
    </row>
    <row r="13" spans="1:6" ht="14.45" x14ac:dyDescent="0.3">
      <c r="B13" s="7">
        <v>0</v>
      </c>
      <c r="C13" s="7">
        <v>40</v>
      </c>
      <c r="D13" s="7">
        <v>90</v>
      </c>
      <c r="E13" s="7">
        <v>20</v>
      </c>
      <c r="F13" s="9">
        <f t="shared" si="0"/>
        <v>150</v>
      </c>
    </row>
    <row r="14" spans="1:6" ht="14.45" x14ac:dyDescent="0.3">
      <c r="B14" s="7">
        <v>40</v>
      </c>
      <c r="C14" s="7">
        <v>90</v>
      </c>
      <c r="D14" s="7">
        <v>0</v>
      </c>
      <c r="E14" s="7">
        <v>0</v>
      </c>
      <c r="F14" s="9">
        <f t="shared" si="0"/>
        <v>130</v>
      </c>
    </row>
    <row r="15" spans="1:6" ht="14.45" x14ac:dyDescent="0.3">
      <c r="B15" s="9">
        <f>SUM(B11:B14)</f>
        <v>140</v>
      </c>
      <c r="C15" s="9">
        <f t="shared" ref="C15:F15" si="1">SUM(C11:C14)</f>
        <v>130</v>
      </c>
      <c r="D15" s="9">
        <f t="shared" si="1"/>
        <v>90</v>
      </c>
      <c r="E15" s="9">
        <f t="shared" si="1"/>
        <v>140</v>
      </c>
      <c r="F15" s="9">
        <f t="shared" si="1"/>
        <v>500</v>
      </c>
    </row>
    <row r="16" spans="1:6" ht="14.45" x14ac:dyDescent="0.3">
      <c r="B16" s="10"/>
    </row>
    <row r="17" spans="1:8" x14ac:dyDescent="0.25">
      <c r="B17" s="32" t="s">
        <v>21</v>
      </c>
      <c r="C17" s="32"/>
      <c r="D17" s="32"/>
      <c r="E17" s="32"/>
    </row>
    <row r="18" spans="1:8" ht="14.45" x14ac:dyDescent="0.3">
      <c r="B18" s="9">
        <f t="array" ref="B18:E21">B4:E7*B11:E14</f>
        <v>400</v>
      </c>
      <c r="C18" s="7">
        <v>0</v>
      </c>
      <c r="D18" s="7">
        <v>0</v>
      </c>
      <c r="E18" s="7">
        <v>0</v>
      </c>
    </row>
    <row r="19" spans="1:8" ht="14.45" x14ac:dyDescent="0.3">
      <c r="B19" s="7">
        <v>0</v>
      </c>
      <c r="C19" s="9">
        <v>0</v>
      </c>
      <c r="D19" s="7">
        <v>0</v>
      </c>
      <c r="E19" s="7">
        <v>480</v>
      </c>
    </row>
    <row r="20" spans="1:8" ht="14.45" x14ac:dyDescent="0.3">
      <c r="B20" s="7">
        <v>0</v>
      </c>
      <c r="C20" s="7">
        <v>240</v>
      </c>
      <c r="D20" s="7">
        <v>360</v>
      </c>
      <c r="E20" s="7">
        <v>100</v>
      </c>
    </row>
    <row r="21" spans="1:8" ht="14.45" x14ac:dyDescent="0.3">
      <c r="B21" s="7">
        <v>120</v>
      </c>
      <c r="C21" s="7">
        <v>180</v>
      </c>
      <c r="D21" s="7">
        <v>0</v>
      </c>
      <c r="E21" s="7">
        <v>0</v>
      </c>
    </row>
    <row r="23" spans="1:8" x14ac:dyDescent="0.25">
      <c r="A23" s="7" t="s">
        <v>22</v>
      </c>
      <c r="B23" s="7">
        <f>SUM(B18:E21)</f>
        <v>1880</v>
      </c>
    </row>
    <row r="27" spans="1:8" x14ac:dyDescent="0.25">
      <c r="A27" s="33" t="s">
        <v>23</v>
      </c>
      <c r="B27" s="33"/>
      <c r="C27" s="33"/>
      <c r="D27" s="33"/>
    </row>
    <row r="29" spans="1:8" x14ac:dyDescent="0.25">
      <c r="A29" s="31" t="s">
        <v>26</v>
      </c>
      <c r="B29" s="31"/>
      <c r="C29" s="31"/>
      <c r="D29" s="31"/>
      <c r="E29" s="31"/>
      <c r="F29" s="31"/>
      <c r="G29" s="31"/>
    </row>
    <row r="30" spans="1:8" x14ac:dyDescent="0.25">
      <c r="A30" s="26" t="s">
        <v>24</v>
      </c>
      <c r="B30" s="28" t="s">
        <v>25</v>
      </c>
      <c r="C30" s="29"/>
      <c r="D30" s="29"/>
      <c r="E30" s="29"/>
      <c r="F30" s="29"/>
      <c r="G30" s="30"/>
      <c r="H30" s="7"/>
    </row>
    <row r="31" spans="1:8" x14ac:dyDescent="0.25">
      <c r="A31" s="27"/>
      <c r="B31" s="7">
        <v>1</v>
      </c>
      <c r="C31" s="7">
        <v>2</v>
      </c>
      <c r="D31" s="7">
        <v>3</v>
      </c>
      <c r="E31" s="7">
        <v>4</v>
      </c>
      <c r="F31" s="7">
        <v>5</v>
      </c>
      <c r="G31" s="20">
        <v>6</v>
      </c>
      <c r="H31" s="20"/>
    </row>
    <row r="32" spans="1:8" x14ac:dyDescent="0.25">
      <c r="A32" s="7" t="s">
        <v>15</v>
      </c>
      <c r="B32" s="7">
        <v>2</v>
      </c>
      <c r="C32" s="7">
        <v>3</v>
      </c>
      <c r="D32" s="7">
        <v>6</v>
      </c>
      <c r="E32" s="7">
        <v>8</v>
      </c>
      <c r="F32" s="7">
        <v>2</v>
      </c>
      <c r="G32" s="7">
        <v>10</v>
      </c>
      <c r="H32" s="20">
        <v>130</v>
      </c>
    </row>
    <row r="33" spans="1:8" x14ac:dyDescent="0.25">
      <c r="A33" s="7" t="s">
        <v>16</v>
      </c>
      <c r="B33" s="7">
        <v>8</v>
      </c>
      <c r="C33" s="7">
        <v>1</v>
      </c>
      <c r="D33" s="7">
        <v>2</v>
      </c>
      <c r="E33" s="7">
        <v>3</v>
      </c>
      <c r="F33" s="7">
        <v>9</v>
      </c>
      <c r="G33" s="7">
        <v>5</v>
      </c>
      <c r="H33" s="20">
        <v>90</v>
      </c>
    </row>
    <row r="34" spans="1:8" x14ac:dyDescent="0.25">
      <c r="A34" s="7" t="s">
        <v>17</v>
      </c>
      <c r="B34" s="7">
        <v>7</v>
      </c>
      <c r="C34" s="7">
        <v>6</v>
      </c>
      <c r="D34" s="7">
        <v>4</v>
      </c>
      <c r="E34" s="7">
        <v>1</v>
      </c>
      <c r="F34" s="7">
        <v>5</v>
      </c>
      <c r="G34" s="7">
        <v>9</v>
      </c>
      <c r="H34" s="20">
        <v>100</v>
      </c>
    </row>
    <row r="35" spans="1:8" x14ac:dyDescent="0.25">
      <c r="A35" s="7" t="s">
        <v>18</v>
      </c>
      <c r="B35" s="7">
        <v>2</v>
      </c>
      <c r="C35" s="7">
        <v>10</v>
      </c>
      <c r="D35" s="7">
        <v>8</v>
      </c>
      <c r="E35" s="7">
        <v>5</v>
      </c>
      <c r="F35" s="7">
        <v>3</v>
      </c>
      <c r="G35" s="7">
        <v>4</v>
      </c>
      <c r="H35" s="20">
        <v>140</v>
      </c>
    </row>
    <row r="36" spans="1:8" x14ac:dyDescent="0.25">
      <c r="A36" s="7"/>
      <c r="B36" s="20">
        <v>110</v>
      </c>
      <c r="C36" s="20">
        <v>50</v>
      </c>
      <c r="D36" s="20">
        <v>30</v>
      </c>
      <c r="E36" s="20">
        <v>80</v>
      </c>
      <c r="F36" s="20">
        <v>100</v>
      </c>
      <c r="G36" s="20">
        <v>90</v>
      </c>
      <c r="H36" s="7"/>
    </row>
    <row r="38" spans="1:8" x14ac:dyDescent="0.25">
      <c r="B38" t="s">
        <v>20</v>
      </c>
    </row>
    <row r="39" spans="1:8" x14ac:dyDescent="0.25">
      <c r="B39" s="7"/>
      <c r="C39" s="7"/>
      <c r="D39" s="7"/>
      <c r="E39" s="7"/>
      <c r="F39" s="7"/>
    </row>
    <row r="40" spans="1:8" x14ac:dyDescent="0.25">
      <c r="B40" s="7"/>
      <c r="C40" s="7"/>
      <c r="D40" s="7"/>
      <c r="E40" s="7"/>
      <c r="F40" s="7"/>
    </row>
    <row r="41" spans="1:8" x14ac:dyDescent="0.25">
      <c r="B41" s="7"/>
      <c r="C41" s="7"/>
      <c r="D41" s="7"/>
      <c r="E41" s="7"/>
      <c r="F41" s="7"/>
    </row>
    <row r="42" spans="1:8" x14ac:dyDescent="0.25">
      <c r="B42" s="7"/>
      <c r="C42" s="7"/>
      <c r="D42" s="7"/>
      <c r="E42" s="7"/>
      <c r="F42" s="7"/>
    </row>
    <row r="43" spans="1:8" x14ac:dyDescent="0.25">
      <c r="B43" s="7"/>
      <c r="C43" s="7"/>
      <c r="D43" s="7"/>
      <c r="E43" s="7"/>
      <c r="F43" s="7"/>
    </row>
    <row r="45" spans="1:8" x14ac:dyDescent="0.25">
      <c r="B45" t="s">
        <v>21</v>
      </c>
    </row>
    <row r="46" spans="1:8" x14ac:dyDescent="0.25">
      <c r="B46" s="7">
        <f t="array" ref="B46:E49">B32:E35*B39:E42</f>
        <v>0</v>
      </c>
      <c r="C46" s="7">
        <v>0</v>
      </c>
      <c r="D46" s="7">
        <v>0</v>
      </c>
      <c r="E46" s="7">
        <v>0</v>
      </c>
    </row>
    <row r="47" spans="1:8" x14ac:dyDescent="0.25">
      <c r="B47" s="7">
        <v>0</v>
      </c>
      <c r="C47" s="7">
        <v>0</v>
      </c>
      <c r="D47" s="7">
        <v>0</v>
      </c>
      <c r="E47" s="7">
        <v>0</v>
      </c>
    </row>
    <row r="48" spans="1:8" x14ac:dyDescent="0.25">
      <c r="B48" s="7">
        <v>0</v>
      </c>
      <c r="C48" s="7">
        <v>0</v>
      </c>
      <c r="D48" s="7">
        <v>0</v>
      </c>
      <c r="E48" s="7">
        <v>0</v>
      </c>
    </row>
    <row r="49" spans="1:5" x14ac:dyDescent="0.25">
      <c r="B49" s="7">
        <v>0</v>
      </c>
      <c r="C49" s="7">
        <v>0</v>
      </c>
      <c r="D49" s="7">
        <v>0</v>
      </c>
      <c r="E49" s="7">
        <v>0</v>
      </c>
    </row>
    <row r="51" spans="1:5" x14ac:dyDescent="0.25">
      <c r="A51" s="7" t="s">
        <v>22</v>
      </c>
      <c r="B51" s="7">
        <f>SUM(B46:E49)</f>
        <v>0</v>
      </c>
    </row>
  </sheetData>
  <mergeCells count="8">
    <mergeCell ref="A2:A3"/>
    <mergeCell ref="A1:F1"/>
    <mergeCell ref="B2:F2"/>
    <mergeCell ref="A30:A31"/>
    <mergeCell ref="B30:G30"/>
    <mergeCell ref="A29:G29"/>
    <mergeCell ref="B17:E17"/>
    <mergeCell ref="B10:F1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</vt:i4>
      </vt:variant>
    </vt:vector>
  </HeadingPairs>
  <TitlesOfParts>
    <vt:vector size="5" baseType="lpstr">
      <vt:lpstr>Лист1</vt:lpstr>
      <vt:lpstr>Лист2</vt:lpstr>
      <vt:lpstr>Лист3</vt:lpstr>
      <vt:lpstr>Лист4</vt:lpstr>
      <vt:lpstr>перевод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ДОМ</cp:lastModifiedBy>
  <dcterms:created xsi:type="dcterms:W3CDTF">2018-09-30T17:44:26Z</dcterms:created>
  <dcterms:modified xsi:type="dcterms:W3CDTF">2018-10-02T18:28:47Z</dcterms:modified>
</cp:coreProperties>
</file>